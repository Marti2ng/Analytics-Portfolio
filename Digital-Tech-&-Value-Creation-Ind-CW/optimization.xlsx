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209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marti2ng/Documents/Bayes/SMM750/RESTART/"/>
    </mc:Choice>
  </mc:AlternateContent>
  <xr:revisionPtr revIDLastSave="0" documentId="13_ncr:9_{367EAC6C-005A-3145-ABA6-5A775308657F}" xr6:coauthVersionLast="47" xr6:coauthVersionMax="47" xr10:uidLastSave="{00000000-0000-0000-0000-000000000000}"/>
  <bookViews>
    <workbookView xWindow="0" yWindow="760" windowWidth="30240" windowHeight="18880" xr2:uid="{BDEFD634-9802-1F41-8629-BFF1FD1FFE1F}"/>
  </bookViews>
  <sheets>
    <sheet name="department_salary_groups" sheetId="1" r:id="rId1"/>
  </sheets>
  <definedNames>
    <definedName name="solver_adj" localSheetId="0" hidden="1">department_salary_groups!$H$2:$H$10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itr" localSheetId="0" hidden="1">2147483647</definedName>
    <definedName name="solver_lhs1" localSheetId="0" hidden="1">department_salary_groups!$F$14</definedName>
    <definedName name="solver_lhs2" localSheetId="0" hidden="1">department_salary_groups!$F$15</definedName>
    <definedName name="solver_lhs3" localSheetId="0" hidden="1">department_salary_groups!$F$16</definedName>
    <definedName name="solver_lhs4" localSheetId="0" hidden="1">department_salary_groups!$F$17</definedName>
    <definedName name="solver_lhs5" localSheetId="0" hidden="1">department_salary_groups!$H$2:$H$10</definedName>
    <definedName name="solver_lhs6" localSheetId="0" hidden="1">department_salary_groups!$I$22</definedName>
    <definedName name="solver_lin" localSheetId="0" hidden="1">1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6</definedName>
    <definedName name="solver_opt" localSheetId="0" hidden="1">department_salary_groups!$F$21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1</definedName>
    <definedName name="solver_rel3" localSheetId="0" hidden="1">1</definedName>
    <definedName name="solver_rel4" localSheetId="0" hidden="1">3</definedName>
    <definedName name="solver_rel5" localSheetId="0" hidden="1">5</definedName>
    <definedName name="solver_rel6" localSheetId="0" hidden="1">3</definedName>
    <definedName name="solver_rhs1" localSheetId="0" hidden="1">department_salary_groups!$K$18</definedName>
    <definedName name="solver_rhs2" localSheetId="0" hidden="1">department_salary_groups!$K$19</definedName>
    <definedName name="solver_rhs3" localSheetId="0" hidden="1">department_salary_groups!$K$20</definedName>
    <definedName name="solver_rhs4" localSheetId="0" hidden="1">3000000</definedName>
    <definedName name="solver_rhs5" localSheetId="0" hidden="1">"binary"</definedName>
    <definedName name="solver_rhs6" localSheetId="0" hidden="1">department_salary_groups!$K$22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2</definedName>
  </definedName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F28" i="1" l="1"/>
  <c r="F27" i="1"/>
  <c r="F26" i="1"/>
  <c r="E28" i="1"/>
  <c r="E27" i="1"/>
  <c r="E26" i="1"/>
  <c r="K3" i="1"/>
  <c r="K4" i="1"/>
  <c r="K5" i="1"/>
  <c r="K6" i="1"/>
  <c r="K7" i="1"/>
  <c r="K8" i="1"/>
  <c r="K9" i="1"/>
  <c r="K10" i="1"/>
  <c r="K2" i="1"/>
  <c r="J3" i="1"/>
  <c r="J4" i="1"/>
  <c r="J5" i="1"/>
  <c r="J6" i="1"/>
  <c r="J7" i="1"/>
  <c r="J8" i="1"/>
  <c r="J9" i="1"/>
  <c r="J10" i="1"/>
  <c r="J2" i="1"/>
  <c r="I3" i="1"/>
  <c r="I4" i="1"/>
  <c r="I5" i="1"/>
  <c r="I6" i="1"/>
  <c r="I7" i="1"/>
  <c r="I8" i="1"/>
  <c r="I9" i="1"/>
  <c r="I10" i="1"/>
  <c r="I2" i="1"/>
  <c r="B13" i="1"/>
  <c r="F17" i="1" l="1"/>
  <c r="I21" i="1" s="1"/>
  <c r="F16" i="1"/>
  <c r="I20" i="1" s="1"/>
  <c r="F15" i="1"/>
  <c r="I19" i="1" s="1"/>
  <c r="F14" i="1"/>
  <c r="F21" i="1"/>
  <c r="I22" i="1" l="1"/>
  <c r="I18" i="1"/>
</calcChain>
</file>

<file path=xl/sharedStrings.xml><?xml version="1.0" encoding="utf-8"?>
<sst xmlns="http://purl.oclc.org/ooxml/spreadsheetml/main" count="41" uniqueCount="32">
  <si>
    <t>Group</t>
  </si>
  <si>
    <t>count</t>
  </si>
  <si>
    <t>avg_prediction</t>
  </si>
  <si>
    <t>expected_leavers</t>
  </si>
  <si>
    <t>avg_monthly_income</t>
  </si>
  <si>
    <t>avg_severance_cost</t>
  </si>
  <si>
    <t>expected_salary_reduction</t>
  </si>
  <si>
    <t>Human Resources - High</t>
  </si>
  <si>
    <t>Human Resources - Low</t>
  </si>
  <si>
    <t>Human Resources - Medium</t>
  </si>
  <si>
    <t>Research &amp; Development - High</t>
  </si>
  <si>
    <t>Research &amp; Development - Low</t>
  </si>
  <si>
    <t>Research &amp; Development - Medium</t>
  </si>
  <si>
    <t>Sales - High</t>
  </si>
  <si>
    <t>Sales - Low</t>
  </si>
  <si>
    <t>Sales - Medium</t>
  </si>
  <si>
    <t>RCC Offer</t>
  </si>
  <si>
    <t>Total Expected Leavers</t>
  </si>
  <si>
    <t>Salary Reduction</t>
  </si>
  <si>
    <t>HR Leavers</t>
  </si>
  <si>
    <t>R&amp;D Leavers</t>
  </si>
  <si>
    <t>Sales Leavers</t>
  </si>
  <si>
    <t>Severance Cost</t>
  </si>
  <si>
    <t>Constraints</t>
  </si>
  <si>
    <t>HR Headcount</t>
  </si>
  <si>
    <t>R&amp;D Headcount</t>
  </si>
  <si>
    <t>Sales Headcount</t>
  </si>
  <si>
    <t>&lt;=</t>
  </si>
  <si>
    <t>&gt;=</t>
  </si>
  <si>
    <t>Total Leavers</t>
  </si>
  <si>
    <t>Total Headcount</t>
  </si>
  <si>
    <t>20% Constraint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</si>
</sst>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[$€-2]\ * #,##0.00_);_([$€-2]\ * \(#,##0.00\);_([$€-2]\ * &quot;-&quot;??_);_(@_)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13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medium">
        <color indexed="64"/>
      </start>
      <end style="thin">
        <color indexed="64"/>
      </end>
      <top style="medium">
        <color indexed="64"/>
      </top>
      <bottom style="medium">
        <color indexed="64"/>
      </bottom>
      <diagonal/>
    </border>
    <border>
      <start style="thin">
        <color indexed="64"/>
      </start>
      <end style="medium">
        <color indexed="64"/>
      </end>
      <top style="medium">
        <color indexed="64"/>
      </top>
      <bottom style="medium">
        <color indexed="6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64" fontId="0" fillId="0" borderId="0" xfId="0" applyNumberFormat="1"/>
    <xf numFmtId="0" fontId="0" fillId="33" borderId="11" xfId="0" applyFill="1" applyBorder="1"/>
    <xf numFmtId="164" fontId="0" fillId="33" borderId="12" xfId="0" applyNumberFormat="1" applyFill="1" applyBorder="1"/>
    <xf numFmtId="1" fontId="0" fillId="34" borderId="10" xfId="1" applyNumberFormat="1" applyFont="1" applyFill="1" applyBorder="1" applyAlignment="1">
      <alignment horizontal="center"/>
    </xf>
    <xf numFmtId="0" fontId="0" fillId="35" borderId="0" xfId="0" applyFill="1"/>
    <xf numFmtId="164" fontId="0" fillId="35" borderId="0" xfId="0" applyNumberFormat="1" applyFill="1"/>
    <xf numFmtId="1" fontId="0" fillId="35" borderId="10" xfId="1" applyNumberFormat="1" applyFont="1" applyFill="1" applyBorder="1" applyAlignment="1">
      <alignment horizontal="center"/>
    </xf>
    <xf numFmtId="0" fontId="0" fillId="0" borderId="0" xfId="0" applyAlignment="1">
      <alignment horizontal="right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A0573-3142-BD42-B9F9-A34FF11A21D9}">
  <dimension ref="A1:K28"/>
  <sheetViews>
    <sheetView tabSelected="1" workbookViewId="0">
      <selection activeCell="N15" sqref="N15"/>
    </sheetView>
  </sheetViews>
  <sheetFormatPr baseColWidth="10" defaultRowHeight="16" x14ac:dyDescent="0.2"/>
  <cols>
    <col min="1" max="1" width="29.83203125" bestFit="1" customWidth="1"/>
    <col min="2" max="2" width="5.83203125" bestFit="1" customWidth="1"/>
    <col min="3" max="3" width="13" bestFit="1" customWidth="1"/>
    <col min="4" max="4" width="15.33203125" bestFit="1" customWidth="1"/>
    <col min="5" max="5" width="18.1640625" bestFit="1" customWidth="1"/>
    <col min="6" max="6" width="17.5" bestFit="1" customWidth="1"/>
    <col min="7" max="7" width="23.33203125" bestFit="1" customWidth="1"/>
    <col min="8" max="8" width="14.83203125" bestFit="1" customWidth="1"/>
    <col min="9" max="9" width="19.6640625" bestFit="1" customWidth="1"/>
    <col min="10" max="10" width="14.83203125" bestFit="1" customWidth="1"/>
    <col min="11" max="11" width="14.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16</v>
      </c>
      <c r="I1" t="s">
        <v>17</v>
      </c>
      <c r="J1" t="s">
        <v>18</v>
      </c>
      <c r="K1" t="s">
        <v>22</v>
      </c>
    </row>
    <row r="2" spans="1:11" x14ac:dyDescent="0.2">
      <c r="A2" t="s">
        <v>7</v>
      </c>
      <c r="B2">
        <v>5</v>
      </c>
      <c r="C2">
        <v>0.13254167863635499</v>
      </c>
      <c r="D2">
        <v>0.66270839318177699</v>
      </c>
      <c r="E2" s="1">
        <v>14502.2</v>
      </c>
      <c r="F2" s="1">
        <v>174026.4</v>
      </c>
      <c r="G2" s="1">
        <v>115329</v>
      </c>
      <c r="H2" s="4">
        <v>0</v>
      </c>
      <c r="I2">
        <f>SUMPRODUCT(D2*H2)</f>
        <v>0</v>
      </c>
      <c r="J2" s="1">
        <f>H2*G2</f>
        <v>0</v>
      </c>
      <c r="K2" s="1">
        <f>H2*F2</f>
        <v>0</v>
      </c>
    </row>
    <row r="3" spans="1:11" x14ac:dyDescent="0.2">
      <c r="A3" t="s">
        <v>8</v>
      </c>
      <c r="B3">
        <v>9</v>
      </c>
      <c r="C3">
        <v>0.26903745147957298</v>
      </c>
      <c r="D3">
        <v>2.4213370633161602</v>
      </c>
      <c r="E3" s="1">
        <v>2589.1111111111099</v>
      </c>
      <c r="F3" s="1">
        <v>31069.33</v>
      </c>
      <c r="G3" s="1">
        <v>75229</v>
      </c>
      <c r="H3" s="4">
        <v>0</v>
      </c>
      <c r="I3">
        <f t="shared" ref="I3:I10" si="0">SUMPRODUCT(D3*H3)</f>
        <v>0</v>
      </c>
      <c r="J3" s="1">
        <f t="shared" ref="J3:J10" si="1">H3*G3</f>
        <v>0</v>
      </c>
      <c r="K3" s="1">
        <f t="shared" ref="K3:K10" si="2">H3*F3</f>
        <v>0</v>
      </c>
    </row>
    <row r="4" spans="1:11" x14ac:dyDescent="0.2">
      <c r="A4" t="s">
        <v>9</v>
      </c>
      <c r="B4">
        <v>7</v>
      </c>
      <c r="C4">
        <v>0.19647500080272001</v>
      </c>
      <c r="D4">
        <v>1.37532500561904</v>
      </c>
      <c r="E4" s="1">
        <v>5756.8571428571404</v>
      </c>
      <c r="F4" s="1">
        <v>69082.289999999994</v>
      </c>
      <c r="G4" s="1">
        <v>95011</v>
      </c>
      <c r="H4" s="4">
        <v>0</v>
      </c>
      <c r="I4">
        <f t="shared" si="0"/>
        <v>0</v>
      </c>
      <c r="J4" s="1">
        <f t="shared" si="1"/>
        <v>0</v>
      </c>
      <c r="K4" s="1">
        <f t="shared" si="2"/>
        <v>0</v>
      </c>
    </row>
    <row r="5" spans="1:11" x14ac:dyDescent="0.2">
      <c r="A5" t="s">
        <v>10</v>
      </c>
      <c r="B5">
        <v>83</v>
      </c>
      <c r="C5">
        <v>5.4635937664511303E-2</v>
      </c>
      <c r="D5">
        <v>4.5347828261544398</v>
      </c>
      <c r="E5" s="1">
        <v>12518.120481927701</v>
      </c>
      <c r="F5" s="1">
        <v>150217.45000000001</v>
      </c>
      <c r="G5" s="1">
        <v>681203</v>
      </c>
      <c r="H5" s="4">
        <v>0</v>
      </c>
      <c r="I5">
        <f t="shared" si="0"/>
        <v>0</v>
      </c>
      <c r="J5" s="1">
        <f t="shared" si="1"/>
        <v>0</v>
      </c>
      <c r="K5" s="1">
        <f t="shared" si="2"/>
        <v>0</v>
      </c>
    </row>
    <row r="6" spans="1:11" x14ac:dyDescent="0.2">
      <c r="A6" s="5" t="s">
        <v>11</v>
      </c>
      <c r="B6" s="5">
        <v>116</v>
      </c>
      <c r="C6" s="5">
        <v>0.20249308320760701</v>
      </c>
      <c r="D6" s="5">
        <v>23.489197652082499</v>
      </c>
      <c r="E6" s="6">
        <v>2853.2327586206802</v>
      </c>
      <c r="F6" s="6">
        <v>34238.79</v>
      </c>
      <c r="G6" s="6">
        <v>804242</v>
      </c>
      <c r="H6" s="7">
        <v>1</v>
      </c>
      <c r="I6" s="5">
        <f t="shared" si="0"/>
        <v>23.489197652082499</v>
      </c>
      <c r="J6" s="6">
        <f t="shared" si="1"/>
        <v>804242</v>
      </c>
      <c r="K6" s="6">
        <f t="shared" si="2"/>
        <v>34238.79</v>
      </c>
    </row>
    <row r="7" spans="1:11" x14ac:dyDescent="0.2">
      <c r="A7" s="5" t="s">
        <v>12</v>
      </c>
      <c r="B7" s="5">
        <v>86</v>
      </c>
      <c r="C7" s="5">
        <v>0.14133346502706601</v>
      </c>
      <c r="D7" s="5">
        <v>12.1546779923277</v>
      </c>
      <c r="E7" s="6">
        <v>5285.05813953488</v>
      </c>
      <c r="F7" s="6">
        <v>63420.7</v>
      </c>
      <c r="G7" s="6">
        <v>770858</v>
      </c>
      <c r="H7" s="7">
        <v>1</v>
      </c>
      <c r="I7" s="5">
        <f t="shared" si="0"/>
        <v>12.1546779923277</v>
      </c>
      <c r="J7" s="6">
        <f t="shared" si="1"/>
        <v>770858</v>
      </c>
      <c r="K7" s="6">
        <f t="shared" si="2"/>
        <v>63420.7</v>
      </c>
    </row>
    <row r="8" spans="1:11" x14ac:dyDescent="0.2">
      <c r="A8" s="5" t="s">
        <v>13</v>
      </c>
      <c r="B8" s="5">
        <v>59</v>
      </c>
      <c r="C8" s="5">
        <v>0.121725704609588</v>
      </c>
      <c r="D8" s="5">
        <v>7.1818165719657001</v>
      </c>
      <c r="E8" s="6">
        <v>10252.7966101694</v>
      </c>
      <c r="F8" s="6">
        <v>123033.56</v>
      </c>
      <c r="G8" s="6">
        <v>883604</v>
      </c>
      <c r="H8" s="7">
        <v>1</v>
      </c>
      <c r="I8" s="5">
        <f t="shared" si="0"/>
        <v>7.1818165719657001</v>
      </c>
      <c r="J8" s="6">
        <f t="shared" si="1"/>
        <v>883604</v>
      </c>
      <c r="K8" s="6">
        <f t="shared" si="2"/>
        <v>123033.56</v>
      </c>
    </row>
    <row r="9" spans="1:11" x14ac:dyDescent="0.2">
      <c r="A9" t="s">
        <v>14</v>
      </c>
      <c r="B9">
        <v>22</v>
      </c>
      <c r="C9">
        <v>0.24739741578768701</v>
      </c>
      <c r="D9">
        <v>5.4427431473291099</v>
      </c>
      <c r="E9" s="1">
        <v>2920.5</v>
      </c>
      <c r="F9" s="1">
        <v>35046</v>
      </c>
      <c r="G9" s="1">
        <v>190746</v>
      </c>
      <c r="H9" s="4">
        <v>0</v>
      </c>
      <c r="I9">
        <f t="shared" si="0"/>
        <v>0</v>
      </c>
      <c r="J9" s="1">
        <f t="shared" si="1"/>
        <v>0</v>
      </c>
      <c r="K9" s="1">
        <f t="shared" si="2"/>
        <v>0</v>
      </c>
    </row>
    <row r="10" spans="1:11" x14ac:dyDescent="0.2">
      <c r="A10" s="5" t="s">
        <v>15</v>
      </c>
      <c r="B10" s="5">
        <v>54</v>
      </c>
      <c r="C10" s="5">
        <v>0.19598617175428301</v>
      </c>
      <c r="D10" s="5">
        <v>10.5832532747312</v>
      </c>
      <c r="E10" s="6">
        <v>5420.3148148148102</v>
      </c>
      <c r="F10" s="6">
        <v>65043.78</v>
      </c>
      <c r="G10" s="6">
        <v>688375</v>
      </c>
      <c r="H10" s="7">
        <v>1</v>
      </c>
      <c r="I10" s="5">
        <f t="shared" si="0"/>
        <v>10.5832532747312</v>
      </c>
      <c r="J10" s="6">
        <f t="shared" si="1"/>
        <v>688375</v>
      </c>
      <c r="K10" s="6">
        <f t="shared" si="2"/>
        <v>65043.78</v>
      </c>
    </row>
    <row r="13" spans="1:11" x14ac:dyDescent="0.2">
      <c r="A13" s="8" t="s">
        <v>30</v>
      </c>
      <c r="B13">
        <f>SUM(B2:B10)</f>
        <v>441</v>
      </c>
    </row>
    <row r="14" spans="1:11" x14ac:dyDescent="0.2">
      <c r="E14" t="s">
        <v>19</v>
      </c>
      <c r="F14">
        <f>SUM(I2:I4)</f>
        <v>0</v>
      </c>
    </row>
    <row r="15" spans="1:11" x14ac:dyDescent="0.2">
      <c r="E15" t="s">
        <v>20</v>
      </c>
      <c r="F15">
        <f>SUM(I5:I7)</f>
        <v>35.643875644410201</v>
      </c>
    </row>
    <row r="16" spans="1:11" x14ac:dyDescent="0.2">
      <c r="E16" t="s">
        <v>21</v>
      </c>
      <c r="F16">
        <f>SUM(I8:I10)</f>
        <v>17.7650698466969</v>
      </c>
    </row>
    <row r="17" spans="4:11" x14ac:dyDescent="0.2">
      <c r="E17" t="s">
        <v>18</v>
      </c>
      <c r="F17" s="1">
        <f>SUM(J2:J10)</f>
        <v>3147079</v>
      </c>
      <c r="J17" t="s">
        <v>23</v>
      </c>
    </row>
    <row r="18" spans="4:11" x14ac:dyDescent="0.2">
      <c r="H18" t="s">
        <v>19</v>
      </c>
      <c r="I18">
        <f>F14</f>
        <v>0</v>
      </c>
      <c r="J18" t="s">
        <v>27</v>
      </c>
      <c r="K18">
        <v>4.2</v>
      </c>
    </row>
    <row r="19" spans="4:11" x14ac:dyDescent="0.2">
      <c r="H19" t="s">
        <v>20</v>
      </c>
      <c r="I19">
        <f>F15</f>
        <v>35.643875644410201</v>
      </c>
      <c r="J19" t="s">
        <v>27</v>
      </c>
      <c r="K19">
        <v>57</v>
      </c>
    </row>
    <row r="20" spans="4:11" ht="17" thickBot="1" x14ac:dyDescent="0.25">
      <c r="H20" t="s">
        <v>21</v>
      </c>
      <c r="I20">
        <f>F16</f>
        <v>17.7650698466969</v>
      </c>
      <c r="J20" t="s">
        <v>27</v>
      </c>
      <c r="K20">
        <v>27</v>
      </c>
    </row>
    <row r="21" spans="4:11" ht="17" thickBot="1" x14ac:dyDescent="0.25">
      <c r="E21" s="2" t="s">
        <v>22</v>
      </c>
      <c r="F21" s="3">
        <f>SUM(K2:K10)</f>
        <v>285736.82999999996</v>
      </c>
      <c r="H21" t="s">
        <v>18</v>
      </c>
      <c r="I21" s="1">
        <f>F17</f>
        <v>3147079</v>
      </c>
      <c r="J21" t="s">
        <v>28</v>
      </c>
      <c r="K21" s="1">
        <v>3000000</v>
      </c>
    </row>
    <row r="22" spans="4:11" x14ac:dyDescent="0.2">
      <c r="H22" t="s">
        <v>29</v>
      </c>
      <c r="I22">
        <f>SUM(F14:F16)</f>
        <v>53.408945491107104</v>
      </c>
      <c r="J22" t="s">
        <v>28</v>
      </c>
      <c r="K22">
        <v>40</v>
      </c>
    </row>
    <row r="25" spans="4:11" x14ac:dyDescent="0.2">
      <c r="F25" t="s">
        <v>31</v>
      </c>
    </row>
    <row r="26" spans="4:11" x14ac:dyDescent="0.2">
      <c r="D26" t="s">
        <v>24</v>
      </c>
      <c r="E26">
        <f>SUM(B2:B4)</f>
        <v>21</v>
      </c>
      <c r="F26">
        <f>E26*0.2</f>
        <v>4.2</v>
      </c>
    </row>
    <row r="27" spans="4:11" x14ac:dyDescent="0.2">
      <c r="D27" t="s">
        <v>25</v>
      </c>
      <c r="E27">
        <f>SUM(B5:B7)</f>
        <v>285</v>
      </c>
      <c r="F27">
        <f>E27*0.2</f>
        <v>57</v>
      </c>
    </row>
    <row r="28" spans="4:11" x14ac:dyDescent="0.2">
      <c r="D28" t="s">
        <v>26</v>
      </c>
      <c r="E28">
        <f>SUM(B8:B10)</f>
        <v>135</v>
      </c>
      <c r="F28">
        <f>E28*0.2</f>
        <v>27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department_salary_groups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PG-Martin, Nathaniel</cp:lastModifiedBy>
  <dcterms:created xsi:type="dcterms:W3CDTF">2025-04-04T19:52:15Z</dcterms:created>
  <dcterms:modified xsi:type="dcterms:W3CDTF">2025-04-05T15:05:20Z</dcterms:modified>
</cp:coreProperties>
</file>